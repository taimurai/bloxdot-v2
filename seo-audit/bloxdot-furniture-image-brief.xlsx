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mage Bri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Helvetica Neue"/>
      <b val="1"/>
      <color rgb="00121212"/>
      <sz val="22"/>
    </font>
    <font>
      <name val="Helvetica Neue"/>
      <i val="1"/>
      <color rgb="008A7C66"/>
      <sz val="11"/>
    </font>
    <font>
      <name val="Helvetica Neue"/>
      <color rgb="008A7C66"/>
      <sz val="10"/>
    </font>
    <font>
      <name val="Helvetica Neue"/>
      <color rgb="00A67A3C"/>
      <sz val="10"/>
    </font>
    <font>
      <name val="Helvetica Neue"/>
      <b val="1"/>
      <color rgb="00121212"/>
      <sz val="10"/>
    </font>
    <font>
      <name val="Helvetica Neue"/>
      <color rgb="00121212"/>
      <sz val="11"/>
    </font>
    <font>
      <name val="Helvetica Neue"/>
      <b val="1"/>
      <color rgb="00121212"/>
      <sz val="13"/>
    </font>
    <font>
      <name val="Helvetica Neue"/>
      <b val="1"/>
      <color rgb="008A7C66"/>
      <sz val="13"/>
    </font>
    <font>
      <name val="Helvetica Neue"/>
      <b val="1"/>
      <color rgb="00C90D28"/>
      <sz val="13"/>
    </font>
    <font>
      <name val="Helvetica Neue"/>
      <b val="1"/>
      <color rgb="003A3A38"/>
      <sz val="12"/>
    </font>
    <font>
      <name val="Helvetica Neue"/>
      <b val="1"/>
      <color rgb="00A67A3C"/>
      <sz val="12"/>
    </font>
    <font>
      <name val="Helvetica Neue"/>
      <b val="1"/>
      <color rgb="008A7C66"/>
      <sz val="12"/>
    </font>
    <font>
      <name val="Helvetica Neue"/>
      <b val="1"/>
      <color rgb="004A7B4A"/>
      <sz val="12"/>
    </font>
    <font>
      <name val="Helvetica Neue"/>
      <b val="1"/>
      <color rgb="00121212"/>
      <sz val="11"/>
    </font>
    <font>
      <name val="Helvetica Neue"/>
      <color rgb="003A3A38"/>
      <sz val="10"/>
    </font>
    <font>
      <name val="Helvetica Neue"/>
      <color rgb="00121212"/>
      <sz val="10"/>
    </font>
    <font>
      <name val="Menlo"/>
      <b val="1"/>
      <color rgb="00121212"/>
      <sz val="10"/>
    </font>
    <font>
      <name val="Menlo"/>
      <color rgb="00121212"/>
      <sz val="10"/>
    </font>
    <font>
      <name val="Helvetica Neue"/>
      <b val="1"/>
      <color rgb="00121212"/>
      <sz val="9"/>
    </font>
    <font>
      <name val="Helvetica Neue"/>
      <b val="1"/>
      <color rgb="003A3A38"/>
      <sz val="10"/>
    </font>
  </fonts>
  <fills count="10">
    <fill>
      <patternFill/>
    </fill>
    <fill>
      <patternFill patternType="gray125"/>
    </fill>
    <fill>
      <patternFill patternType="solid">
        <fgColor rgb="00F6C9CE"/>
      </patternFill>
    </fill>
    <fill>
      <patternFill patternType="solid">
        <fgColor rgb="00F0E2C7"/>
      </patternFill>
    </fill>
    <fill>
      <patternFill patternType="solid">
        <fgColor rgb="00DCD4C6"/>
      </patternFill>
    </fill>
    <fill>
      <patternFill patternType="solid">
        <fgColor rgb="00E7DFD1"/>
      </patternFill>
    </fill>
    <fill>
      <patternFill patternType="solid">
        <fgColor rgb="00ECE5D8"/>
      </patternFill>
    </fill>
    <fill>
      <patternFill patternType="solid">
        <fgColor rgb="00F2EDE4"/>
      </patternFill>
    </fill>
    <fill>
      <patternFill patternType="solid">
        <fgColor rgb="00D4BDB5"/>
      </patternFill>
    </fill>
    <fill>
      <patternFill patternType="solid">
        <fgColor rgb="00E4D6C4"/>
      </patternFill>
    </fill>
  </fills>
  <borders count="3">
    <border>
      <left/>
      <right/>
      <top/>
      <bottom/>
      <diagonal/>
    </border>
    <border>
      <bottom style="thin">
        <color rgb="008A7C66"/>
      </bottom>
    </border>
    <border>
      <bottom style="medium">
        <color rgb="00121212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0" borderId="1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right" vertical="center"/>
    </xf>
    <xf numFmtId="0" fontId="14" fillId="3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right" vertical="center"/>
    </xf>
    <xf numFmtId="0" fontId="14" fillId="5" borderId="0" applyAlignment="1" pivotButton="0" quotePrefix="0" xfId="0">
      <alignment horizontal="right" vertical="center"/>
    </xf>
    <xf numFmtId="0" fontId="14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 wrapText="1"/>
    </xf>
    <xf numFmtId="0" fontId="5" fillId="7" borderId="2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6" fillId="0" borderId="0" applyAlignment="1" pivotButton="0" quotePrefix="0" xfId="0">
      <alignment horizontal="right" vertical="top"/>
    </xf>
    <xf numFmtId="0" fontId="19" fillId="3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BloxDot</author>
  </authors>
  <commentList>
    <comment ref="A1" authorId="0" shapeId="0">
      <text>
        <t>Shoot order 1-6. P1 ships immediately; P6 is nice-to-have.</t>
      </text>
    </comment>
    <comment ref="B1" authorId="0" shapeId="0">
      <text>
        <t>Which section of /furniture this image goes in.</t>
      </text>
    </comment>
    <comment ref="C1" authorId="0" shapeId="0">
      <text>
        <t>Short internal ID (e.g. HERO-01, CAT-M004, STEP-01). Matches the placeholder in the live site HTML.</t>
      </text>
    </comment>
    <comment ref="D1" authorId="0" shapeId="0">
      <text>
        <t>What the image shows. One short line.</t>
      </text>
    </comment>
    <comment ref="E1" authorId="0" shapeId="0">
      <text>
        <t>chairs, sofas, beds, tables, sideboards, stools, workshop, detail macro, in-situ, product shot.</t>
      </text>
    </comment>
    <comment ref="F1" authorId="0" shapeId="0">
      <text>
        <t>Target aspect ratio for delivery.</t>
      </text>
    </comment>
    <comment ref="G1" authorId="0" shapeId="0">
      <text>
        <t>Target delivered pixel width.</t>
      </text>
    </comment>
    <comment ref="H1" authorId="0" shapeId="0">
      <text>
        <t>Target delivered pixel height.</t>
      </text>
    </comment>
    <comment ref="I1" authorId="0" shapeId="0">
      <text>
        <t>WARM (warm contemporary DHA) · ARCH (modern Lahore penthouse) · EARTH (earthy organic) · MAX (rich maximalist) · NEUTRAL (studio/workshop).</t>
      </text>
    </comment>
    <comment ref="J1" authorId="0" shapeId="0">
      <text>
        <t>One-line creative direction for the photographer or renderer.</t>
      </text>
    </comment>
    <comment ref="K1" authorId="0" shapeId="0">
      <text>
        <t>Lighting, framing, props that must or must not be in frame, special constraints.</t>
      </text>
    </comment>
    <comment ref="L1" authorId="0" shapeId="0">
      <text>
        <t>Dropdown: Pending / In progress / Delivered / Approved.</t>
      </text>
    </comment>
    <comment ref="M1" authorId="0" shapeId="0">
      <text>
        <t>Paste Google Drive / Dropbox / asset CDN URL when the file is ready.</t>
      </text>
    </comment>
    <comment ref="N1" authorId="0" shapeId="0">
      <text>
        <t>Date the file was delivered.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56"/>
  <sheetViews>
    <sheetView showGridLines="0" zoomScale="11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32" customWidth="1" min="4" max="4"/>
    <col width="14" customWidth="1" min="5" max="5"/>
  </cols>
  <sheetData>
    <row r="1" ht="12" customHeight="1"/>
    <row r="2" ht="40" customHeight="1">
      <c r="B2" s="1" t="inlineStr">
        <is>
          <t>BloxDot Furniture — Image Production Brief</t>
        </is>
      </c>
    </row>
    <row r="3">
      <c r="B3" s="2" t="inlineStr">
        <is>
          <t>Complete image manifest for the /furniture landing page.</t>
        </is>
      </c>
    </row>
    <row r="4">
      <c r="B4" s="3" t="inlineStr">
        <is>
          <t>Last updated · 24 Apr 2026</t>
        </is>
      </c>
    </row>
    <row r="5">
      <c r="B5" s="4" t="inlineStr">
        <is>
          <t>Live page · https://landing.bloxdot.com/furniture</t>
        </is>
      </c>
    </row>
    <row r="6" ht="14" customHeight="1"/>
    <row r="7">
      <c r="B7" s="5" t="inlineStr">
        <is>
          <t>Totals</t>
        </is>
      </c>
      <c r="C7" s="6" t="n"/>
      <c r="D7" s="6" t="n"/>
      <c r="E7" s="6" t="n"/>
    </row>
    <row r="8">
      <c r="B8" s="7" t="inlineStr">
        <is>
          <t>Total images in brief</t>
        </is>
      </c>
      <c r="C8" s="8">
        <f>COUNTA('Image Brief'!C2:C29)</f>
        <v/>
      </c>
    </row>
    <row r="9">
      <c r="B9" s="7" t="inlineStr">
        <is>
          <t>Already deployed (catalog)</t>
        </is>
      </c>
      <c r="C9" s="9">
        <f>COUNTIF('Image Brief'!B2:B29,"08 Catalog (deployed)")</f>
        <v/>
      </c>
    </row>
    <row r="10">
      <c r="B10" s="7" t="inlineStr">
        <is>
          <t>Remaining to produce</t>
        </is>
      </c>
      <c r="C10" s="10">
        <f>COUNTA('Image Brief'!C2:C29)-COUNTIF('Image Brief'!L2:L29,"Delivered")-COUNTIF('Image Brief'!L2:L29,"Approved")</f>
        <v/>
      </c>
    </row>
    <row r="12">
      <c r="B12" s="5" t="inlineStr">
        <is>
          <t>By Status</t>
        </is>
      </c>
      <c r="C12" s="6" t="n"/>
      <c r="D12" s="6" t="n"/>
      <c r="E12" s="6" t="n"/>
    </row>
    <row r="13">
      <c r="B13" s="7" t="inlineStr">
        <is>
          <t>Pending</t>
        </is>
      </c>
      <c r="C13" s="11">
        <f>COUNTIF('Image Brief'!L2:L29,"Pending")</f>
        <v/>
      </c>
    </row>
    <row r="14">
      <c r="B14" s="7" t="inlineStr">
        <is>
          <t>In progress</t>
        </is>
      </c>
      <c r="C14" s="12">
        <f>COUNTIF('Image Brief'!L2:L29,"In progress")</f>
        <v/>
      </c>
    </row>
    <row r="15">
      <c r="B15" s="7" t="inlineStr">
        <is>
          <t>Delivered</t>
        </is>
      </c>
      <c r="C15" s="13">
        <f>COUNTIF('Image Brief'!L2:L29,"Delivered")</f>
        <v/>
      </c>
    </row>
    <row r="16">
      <c r="B16" s="7" t="inlineStr">
        <is>
          <t>Approved</t>
        </is>
      </c>
      <c r="C16" s="14">
        <f>COUNTIF('Image Brief'!L2:L29,"Approved")</f>
        <v/>
      </c>
    </row>
    <row r="18">
      <c r="B18" s="5" t="inlineStr">
        <is>
          <t>By Section</t>
        </is>
      </c>
      <c r="C18" s="6" t="n"/>
      <c r="D18" s="6" t="n"/>
      <c r="E18" s="6" t="n"/>
    </row>
    <row r="19">
      <c r="B19" s="7" t="inlineStr">
        <is>
          <t>01 Hero</t>
        </is>
      </c>
      <c r="C19" s="15">
        <f>COUNTIF('Image Brief'!B2:B29,"01 Hero")</f>
        <v/>
      </c>
    </row>
    <row r="20">
      <c r="B20" s="7" t="inlineStr">
        <is>
          <t>05 Signature · Quarry</t>
        </is>
      </c>
      <c r="C20" s="15">
        <f>COUNTIF('Image Brief'!B2:B29,"05 Signature · Quarry")</f>
        <v/>
      </c>
    </row>
    <row r="21">
      <c r="B21" s="7" t="inlineStr">
        <is>
          <t>09 Process</t>
        </is>
      </c>
      <c r="C21" s="15">
        <f>COUNTIF('Image Brief'!B2:B29,"09 Process")</f>
        <v/>
      </c>
    </row>
    <row r="22">
      <c r="B22" s="7" t="inlineStr">
        <is>
          <t>08 Catalog</t>
        </is>
      </c>
      <c r="C22" s="15">
        <f>COUNTIF('Image Brief'!B2:B29,"08 Catalog")</f>
        <v/>
      </c>
    </row>
    <row r="23">
      <c r="B23" s="7" t="inlineStr">
        <is>
          <t>05 Signature · Quarry (upgrade)</t>
        </is>
      </c>
      <c r="C23" s="15">
        <f>COUNTIF('Image Brief'!B2:B29,"05 Signature · Quarry (upgrade)")</f>
        <v/>
      </c>
    </row>
    <row r="24">
      <c r="B24" s="7" t="inlineStr">
        <is>
          <t>07 Signature · Monolith (upgrade)</t>
        </is>
      </c>
      <c r="C24" s="15">
        <f>COUNTIF('Image Brief'!B2:B29,"07 Signature · Monolith (upgrade)")</f>
        <v/>
      </c>
    </row>
    <row r="25">
      <c r="B25" s="7" t="inlineStr">
        <is>
          <t>08 Catalog (deployed)</t>
        </is>
      </c>
      <c r="C25" s="15">
        <f>COUNTIF('Image Brief'!B2:B29,"08 Catalog (deployed)")</f>
        <v/>
      </c>
    </row>
    <row r="27">
      <c r="B27" s="5" t="inlineStr">
        <is>
          <t>By Priority</t>
        </is>
      </c>
      <c r="C27" s="6" t="n"/>
      <c r="D27" s="6" t="n"/>
      <c r="E27" s="6" t="n"/>
    </row>
    <row r="28">
      <c r="B28" s="7" t="inlineStr">
        <is>
          <t>P1 — Hero (critical)</t>
        </is>
      </c>
      <c r="C28" s="16">
        <f>COUNTIF('Image Brief'!A2:A29,1)</f>
        <v/>
      </c>
    </row>
    <row r="29">
      <c r="B29" s="7" t="inlineStr">
        <is>
          <t>P2 — Signature detail macro</t>
        </is>
      </c>
      <c r="C29" s="17">
        <f>COUNTIF('Image Brief'!A2:A29,2)</f>
        <v/>
      </c>
    </row>
    <row r="30">
      <c r="B30" s="7" t="inlineStr">
        <is>
          <t>P3 — Process 5-step thumbnails</t>
        </is>
      </c>
      <c r="C30" s="18">
        <f>COUNTIF('Image Brief'!A2:A29,3)</f>
        <v/>
      </c>
    </row>
    <row r="31">
      <c r="B31" s="7" t="inlineStr">
        <is>
          <t>P4 — Missing catalog tiles</t>
        </is>
      </c>
      <c r="C31" s="19">
        <f>COUNTIF('Image Brief'!A2:A29,4)</f>
        <v/>
      </c>
    </row>
    <row r="32">
      <c r="B32" s="7" t="inlineStr">
        <is>
          <t>P5 — Signature in-situ upgrades</t>
        </is>
      </c>
      <c r="C32" s="19">
        <f>COUNTIF('Image Brief'!A2:A29,5)</f>
        <v/>
      </c>
    </row>
    <row r="33">
      <c r="B33" s="7" t="inlineStr">
        <is>
          <t>P6 — Catalog re-renders (deployed)</t>
        </is>
      </c>
      <c r="C33" s="20">
        <f>COUNTIF('Image Brief'!A2:A29,6)</f>
        <v/>
      </c>
    </row>
    <row r="35">
      <c r="B35" s="5" t="inlineStr">
        <is>
          <t>Aesthetic worlds</t>
        </is>
      </c>
      <c r="C35" s="6" t="n"/>
      <c r="D35" s="6" t="n"/>
      <c r="E35" s="6" t="n"/>
    </row>
    <row r="36" ht="22" customHeight="1">
      <c r="B36" s="21" t="inlineStr">
        <is>
          <t>WARM</t>
        </is>
      </c>
      <c r="C36" s="22" t="inlineStr">
        <is>
          <t>Warm contemporary DHA · travertine · plaster · afternoon Lahore light</t>
        </is>
      </c>
    </row>
    <row r="37" ht="22" customHeight="1">
      <c r="B37" s="21" t="inlineStr">
        <is>
          <t>ARCH</t>
        </is>
      </c>
      <c r="C37" s="22" t="inlineStr">
        <is>
          <t>Modern penthouse · polished concrete · fluted wood · black metalwork · directional light</t>
        </is>
      </c>
    </row>
    <row r="38" ht="22" customHeight="1">
      <c r="B38" s="21" t="inlineStr">
        <is>
          <t>EARTH</t>
        </is>
      </c>
      <c r="C38" s="22" t="inlineStr">
        <is>
          <t>Earthy organic · rough plaster · terracotta · rattan · diffused daylight · greenery</t>
        </is>
      </c>
    </row>
    <row r="39" ht="22" customHeight="1">
      <c r="B39" s="21" t="inlineStr">
        <is>
          <t>MAX</t>
        </is>
      </c>
      <c r="C39" s="22" t="inlineStr">
        <is>
          <t>Rich maximalist · deep walls (green, burgundy, ink) · patterned rugs · evening lamplight</t>
        </is>
      </c>
    </row>
    <row r="40" ht="22" customHeight="1">
      <c r="B40" s="21" t="inlineStr">
        <is>
          <t>NEUTRAL</t>
        </is>
      </c>
      <c r="C40" s="22" t="inlineStr">
        <is>
          <t>Studio / workshop · white or bone background · even daylight · no room context</t>
        </is>
      </c>
    </row>
    <row r="42">
      <c r="B42" s="5" t="inlineStr">
        <is>
          <t>What changed from the previous brief</t>
        </is>
      </c>
      <c r="C42" s="6" t="n"/>
      <c r="D42" s="6" t="n"/>
      <c r="E42" s="6" t="n"/>
    </row>
    <row r="43" ht="20" customHeight="1">
      <c r="B43" s="22" t="inlineStr">
        <is>
          <t>Section 03 Answer was cut — 5 images no longer needed (ANS-HERO, ANS-TILE-01..04).</t>
        </is>
      </c>
    </row>
    <row r="44" ht="20" customHeight="1">
      <c r="B44" s="22" t="inlineStr">
        <is>
          <t>Section 06 Signature 02 Drift Sofa was cut — 2 images no longer needed (D002-HERO, D002-DETAIL).</t>
        </is>
      </c>
    </row>
    <row r="45" ht="20" customHeight="1">
      <c r="B45" s="22" t="inlineStr">
        <is>
          <t>Section 11 Studio was cut — 1 image no longer needed (STUDIO-01).</t>
        </is>
      </c>
    </row>
    <row r="46" ht="20" customHeight="1">
      <c r="B46" s="22" t="inlineStr">
        <is>
          <t>Section 13 Final CTA background removed — CTA-BG no longer needed (solid ink background now).</t>
        </is>
      </c>
    </row>
    <row r="47" ht="20" customHeight="1">
      <c r="B47" s="22" t="inlineStr">
        <is>
          <t>Section 02 Problem anchor removed — PROB-DETAIL no longer needed (text-only section now).</t>
        </is>
      </c>
    </row>
    <row r="48" ht="20" customHeight="1">
      <c r="B48" s="22" t="inlineStr">
        <is>
          <t>Section 10 Materials turned into a spec table — all 5 MAT-* images no longer needed.</t>
        </is>
      </c>
    </row>
    <row r="49" ht="20" customHeight="1">
      <c r="B49" s="22" t="inlineStr">
        <is>
          <t>Net: image demand dropped from 26 to 11 new images, plus 16 optional catalog re-renders.</t>
        </is>
      </c>
    </row>
    <row r="51">
      <c r="B51" s="5" t="inlineStr">
        <is>
          <t>How to fill this brief</t>
        </is>
      </c>
      <c r="C51" s="6" t="n"/>
      <c r="D51" s="6" t="n"/>
      <c r="E51" s="6" t="n"/>
    </row>
    <row r="52" ht="20" customHeight="1">
      <c r="B52" s="22" t="inlineStr">
        <is>
          <t>1. Priority 1 first — ships the moment it's delivered. Lower priorities scale the page.</t>
        </is>
      </c>
    </row>
    <row r="53" ht="20" customHeight="1">
      <c r="B53" s="22" t="inlineStr">
        <is>
          <t>2. When a file is ready, update Status → Delivered on the Image Brief sheet, paste the link, and date it.</t>
        </is>
      </c>
    </row>
    <row r="54" ht="20" customHeight="1">
      <c r="B54" s="22" t="inlineStr">
        <is>
          <t>3. Stick to the exact aspect + dimensions listed. Oversized is fine; wrong aspect breaks the layout.</t>
        </is>
      </c>
    </row>
    <row r="55" ht="20" customHeight="1">
      <c r="B55" s="22" t="inlineStr">
        <is>
          <t>4. NEUTRAL-tagged images should have no room context; aesthetic-tagged images must match the world description on the left.</t>
        </is>
      </c>
    </row>
    <row r="56" ht="20" customHeight="1">
      <c r="B56" s="22" t="inlineStr">
        <is>
          <t>5. P6 (Catalog re-renders) is lowest priority — those slots are already live with generic renders.</t>
        </is>
      </c>
    </row>
  </sheetData>
  <mergeCells count="17">
    <mergeCell ref="B45:E45"/>
    <mergeCell ref="C36:E36"/>
    <mergeCell ref="B56:E56"/>
    <mergeCell ref="B49:E49"/>
    <mergeCell ref="B53:E53"/>
    <mergeCell ref="C37:E37"/>
    <mergeCell ref="B43:E43"/>
    <mergeCell ref="B52:E52"/>
    <mergeCell ref="C39:E39"/>
    <mergeCell ref="C40:E40"/>
    <mergeCell ref="B44:E44"/>
    <mergeCell ref="B48:E48"/>
    <mergeCell ref="B54:E54"/>
    <mergeCell ref="B55:E55"/>
    <mergeCell ref="B47:E47"/>
    <mergeCell ref="B46:E46"/>
    <mergeCell ref="C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44" customWidth="1" min="4" max="4"/>
    <col width="18" customWidth="1" min="5" max="5"/>
    <col width="9" customWidth="1" min="6" max="6"/>
    <col width="11" customWidth="1" min="7" max="7"/>
    <col width="11" customWidth="1" min="8" max="8"/>
    <col width="11" customWidth="1" min="9" max="9"/>
    <col width="50" customWidth="1" min="10" max="10"/>
    <col width="50" customWidth="1" min="11" max="11"/>
    <col width="14" customWidth="1" min="12" max="12"/>
    <col width="30" customWidth="1" min="13" max="13"/>
    <col width="14" customWidth="1" min="14" max="14"/>
  </cols>
  <sheetData>
    <row r="1" ht="34" customHeight="1">
      <c r="A1" s="23" t="inlineStr">
        <is>
          <t>Priority</t>
        </is>
      </c>
      <c r="B1" s="23" t="inlineStr">
        <is>
          <t>Section</t>
        </is>
      </c>
      <c r="C1" s="23" t="inlineStr">
        <is>
          <t>Slot ID</t>
        </is>
      </c>
      <c r="D1" s="23" t="inlineStr">
        <is>
          <t>Piece / Subject</t>
        </is>
      </c>
      <c r="E1" s="23" t="inlineStr">
        <is>
          <t>Category</t>
        </is>
      </c>
      <c r="F1" s="23" t="inlineStr">
        <is>
          <t>Aspect</t>
        </is>
      </c>
      <c r="G1" s="23" t="inlineStr">
        <is>
          <t>Width (px)</t>
        </is>
      </c>
      <c r="H1" s="23" t="inlineStr">
        <is>
          <t>Height (px)</t>
        </is>
      </c>
      <c r="I1" s="23" t="inlineStr">
        <is>
          <t>Aesthetic</t>
        </is>
      </c>
      <c r="J1" s="23" t="inlineStr">
        <is>
          <t>Subject direction</t>
        </is>
      </c>
      <c r="K1" s="23" t="inlineStr">
        <is>
          <t>Notes / technical</t>
        </is>
      </c>
      <c r="L1" s="23" t="inlineStr">
        <is>
          <t>Status</t>
        </is>
      </c>
      <c r="M1" s="23" t="inlineStr">
        <is>
          <t>Delivered file link</t>
        </is>
      </c>
      <c r="N1" s="23" t="inlineStr">
        <is>
          <t>Delivered date</t>
        </is>
      </c>
    </row>
    <row r="2" ht="58" customHeight="1">
      <c r="A2" s="24" t="n">
        <v>1</v>
      </c>
      <c r="B2" s="25" t="inlineStr">
        <is>
          <t>01 Hero</t>
        </is>
      </c>
      <c r="C2" s="26" t="inlineStr">
        <is>
          <t>HERO-01</t>
        </is>
      </c>
      <c r="D2" s="25" t="inlineStr">
        <is>
          <t>Quarry Lounge Chair in DHA lounge</t>
        </is>
      </c>
      <c r="E2" s="25" t="inlineStr">
        <is>
          <t>in-situ</t>
        </is>
      </c>
      <c r="F2" s="27" t="inlineStr">
        <is>
          <t>21:9</t>
        </is>
      </c>
      <c r="G2" s="28" t="n">
        <v>2400</v>
      </c>
      <c r="H2" s="28" t="n">
        <v>1028</v>
      </c>
      <c r="I2" s="29" t="inlineStr">
        <is>
          <t>WARM</t>
        </is>
      </c>
      <c r="J2" s="25" t="inlineStr">
        <is>
          <t>Low-angle wide shot, chair right of frame, empty left third for headline overlay</t>
        </is>
      </c>
      <c r="K2" s="25" t="inlineStr">
        <is>
          <t>4pm light, travertine floor, plaster walls, linen curtain. Leave quiet negative space on left.</t>
        </is>
      </c>
      <c r="L2" s="30" t="inlineStr">
        <is>
          <t>Pending</t>
        </is>
      </c>
      <c r="M2" s="25" t="inlineStr"/>
      <c r="N2" s="25" t="inlineStr"/>
    </row>
    <row r="3" ht="58" customHeight="1">
      <c r="A3" s="31" t="n">
        <v>2</v>
      </c>
      <c r="B3" s="25" t="inlineStr">
        <is>
          <t>05 Signature · Quarry</t>
        </is>
      </c>
      <c r="C3" s="26" t="inlineStr">
        <is>
          <t>Q001-DETAIL</t>
        </is>
      </c>
      <c r="D3" s="25" t="inlineStr">
        <is>
          <t>Oak armrest joint macro</t>
        </is>
      </c>
      <c r="E3" s="25" t="inlineStr">
        <is>
          <t>detail macro</t>
        </is>
      </c>
      <c r="F3" s="27" t="inlineStr">
        <is>
          <t>1:1</t>
        </is>
      </c>
      <c r="G3" s="28" t="n">
        <v>1200</v>
      </c>
      <c r="H3" s="28" t="n">
        <v>1200</v>
      </c>
      <c r="I3" s="29" t="inlineStr">
        <is>
          <t>WARM</t>
        </is>
      </c>
      <c r="J3" s="25" t="inlineStr">
        <is>
          <t>Tight macro on the armrest-to-frame joint</t>
        </is>
      </c>
      <c r="K3" s="25" t="inlineStr">
        <is>
          <t>Bookmatched grain visible, soft directional shadow. No hands in frame.</t>
        </is>
      </c>
      <c r="L3" s="30" t="inlineStr">
        <is>
          <t>Pending</t>
        </is>
      </c>
      <c r="M3" s="25" t="inlineStr"/>
      <c r="N3" s="25" t="inlineStr"/>
    </row>
    <row r="4" ht="58" customHeight="1">
      <c r="A4" s="32" t="n">
        <v>3</v>
      </c>
      <c r="B4" s="25" t="inlineStr">
        <is>
          <t>09 Process</t>
        </is>
      </c>
      <c r="C4" s="26" t="inlineStr">
        <is>
          <t>STEP-01</t>
        </is>
      </c>
      <c r="D4" s="25" t="inlineStr">
        <is>
          <t>Consultation with material samples</t>
        </is>
      </c>
      <c r="E4" s="25" t="inlineStr">
        <is>
          <t>workshop</t>
        </is>
      </c>
      <c r="F4" s="27" t="inlineStr">
        <is>
          <t>1:1</t>
        </is>
      </c>
      <c r="G4" s="28" t="n">
        <v>800</v>
      </c>
      <c r="H4" s="28" t="n">
        <v>800</v>
      </c>
      <c r="I4" s="33" t="inlineStr">
        <is>
          <t>NEUTRAL</t>
        </is>
      </c>
      <c r="J4" s="25" t="inlineStr">
        <is>
          <t>Consultation table with swatches, plans, pencil, coffee</t>
        </is>
      </c>
      <c r="K4" s="25" t="inlineStr">
        <is>
          <t>Overhead or 45-degree angle. Hands acceptable, no faces required.</t>
        </is>
      </c>
      <c r="L4" s="30" t="inlineStr">
        <is>
          <t>Pending</t>
        </is>
      </c>
      <c r="M4" s="25" t="inlineStr"/>
      <c r="N4" s="25" t="inlineStr"/>
    </row>
    <row r="5" ht="58" customHeight="1">
      <c r="A5" s="32" t="n">
        <v>3</v>
      </c>
      <c r="B5" s="25" t="inlineStr">
        <is>
          <t>09 Process</t>
        </is>
      </c>
      <c r="C5" s="26" t="inlineStr">
        <is>
          <t>STEP-02</t>
        </is>
      </c>
      <c r="D5" s="25" t="inlineStr">
        <is>
          <t>Hand-sketching / design session</t>
        </is>
      </c>
      <c r="E5" s="25" t="inlineStr">
        <is>
          <t>workshop</t>
        </is>
      </c>
      <c r="F5" s="27" t="inlineStr">
        <is>
          <t>1:1</t>
        </is>
      </c>
      <c r="G5" s="28" t="n">
        <v>800</v>
      </c>
      <c r="H5" s="28" t="n">
        <v>800</v>
      </c>
      <c r="I5" s="33" t="inlineStr">
        <is>
          <t>NEUTRAL</t>
        </is>
      </c>
      <c r="J5" s="25" t="inlineStr">
        <is>
          <t>Pencil on paper, furniture sketch in progress</t>
        </is>
      </c>
      <c r="K5" s="25" t="inlineStr">
        <is>
          <t>Tight crop, hand + pencil + drawing visible.</t>
        </is>
      </c>
      <c r="L5" s="30" t="inlineStr">
        <is>
          <t>Pending</t>
        </is>
      </c>
      <c r="M5" s="25" t="inlineStr"/>
      <c r="N5" s="25" t="inlineStr"/>
    </row>
    <row r="6" ht="58" customHeight="1">
      <c r="A6" s="32" t="n">
        <v>3</v>
      </c>
      <c r="B6" s="25" t="inlineStr">
        <is>
          <t>09 Process</t>
        </is>
      </c>
      <c r="C6" s="26" t="inlineStr">
        <is>
          <t>STEP-03</t>
        </is>
      </c>
      <c r="D6" s="25" t="inlineStr">
        <is>
          <t>Signed spec sheet with swatches attached</t>
        </is>
      </c>
      <c r="E6" s="25" t="inlineStr">
        <is>
          <t>workshop</t>
        </is>
      </c>
      <c r="F6" s="27" t="inlineStr">
        <is>
          <t>1:1</t>
        </is>
      </c>
      <c r="G6" s="28" t="n">
        <v>800</v>
      </c>
      <c r="H6" s="28" t="n">
        <v>800</v>
      </c>
      <c r="I6" s="33" t="inlineStr">
        <is>
          <t>NEUTRAL</t>
        </is>
      </c>
      <c r="J6" s="25" t="inlineStr">
        <is>
          <t>Printed spec sheet with actual fabric and wood samples stapled to it</t>
        </is>
      </c>
      <c r="K6" s="25" t="inlineStr">
        <is>
          <t>Flat-lay composition. Contract-like feel.</t>
        </is>
      </c>
      <c r="L6" s="30" t="inlineStr">
        <is>
          <t>Pending</t>
        </is>
      </c>
      <c r="M6" s="25" t="inlineStr"/>
      <c r="N6" s="25" t="inlineStr"/>
    </row>
    <row r="7" ht="58" customHeight="1">
      <c r="A7" s="32" t="n">
        <v>3</v>
      </c>
      <c r="B7" s="25" t="inlineStr">
        <is>
          <t>09 Process</t>
        </is>
      </c>
      <c r="C7" s="26" t="inlineStr">
        <is>
          <t>STEP-04</t>
        </is>
      </c>
      <c r="D7" s="25" t="inlineStr">
        <is>
          <t>Piece mid-build in workshop</t>
        </is>
      </c>
      <c r="E7" s="25" t="inlineStr">
        <is>
          <t>workshop</t>
        </is>
      </c>
      <c r="F7" s="27" t="inlineStr">
        <is>
          <t>1:1</t>
        </is>
      </c>
      <c r="G7" s="28" t="n">
        <v>800</v>
      </c>
      <c r="H7" s="28" t="n">
        <v>800</v>
      </c>
      <c r="I7" s="33" t="inlineStr">
        <is>
          <t>NEUTRAL</t>
        </is>
      </c>
      <c r="J7" s="25" t="inlineStr">
        <is>
          <t>Partially built piece — frame exposed, upholstery partial</t>
        </is>
      </c>
      <c r="K7" s="25" t="inlineStr">
        <is>
          <t>Hands working if possible. Context: workshop background.</t>
        </is>
      </c>
      <c r="L7" s="30" t="inlineStr">
        <is>
          <t>Pending</t>
        </is>
      </c>
      <c r="M7" s="25" t="inlineStr"/>
      <c r="N7" s="25" t="inlineStr"/>
    </row>
    <row r="8" ht="58" customHeight="1">
      <c r="A8" s="32" t="n">
        <v>3</v>
      </c>
      <c r="B8" s="25" t="inlineStr">
        <is>
          <t>09 Process</t>
        </is>
      </c>
      <c r="C8" s="26" t="inlineStr">
        <is>
          <t>STEP-05</t>
        </is>
      </c>
      <c r="D8" s="25" t="inlineStr">
        <is>
          <t>Install moment in client home</t>
        </is>
      </c>
      <c r="E8" s="25" t="inlineStr">
        <is>
          <t>in-situ</t>
        </is>
      </c>
      <c r="F8" s="27" t="inlineStr">
        <is>
          <t>1:1</t>
        </is>
      </c>
      <c r="G8" s="28" t="n">
        <v>800</v>
      </c>
      <c r="H8" s="28" t="n">
        <v>800</v>
      </c>
      <c r="I8" s="29" t="inlineStr">
        <is>
          <t>WARM</t>
        </is>
      </c>
      <c r="J8" s="25" t="inlineStr">
        <is>
          <t>Piece being positioned in client's room</t>
        </is>
      </c>
      <c r="K8" s="25" t="inlineStr">
        <is>
          <t>Real delivery moment preferred. Client home context — no branding/logo visible.</t>
        </is>
      </c>
      <c r="L8" s="30" t="inlineStr">
        <is>
          <t>Pending</t>
        </is>
      </c>
      <c r="M8" s="25" t="inlineStr"/>
      <c r="N8" s="25" t="inlineStr"/>
    </row>
    <row r="9" ht="58" customHeight="1">
      <c r="A9" s="34" t="n">
        <v>4</v>
      </c>
      <c r="B9" s="25" t="inlineStr">
        <is>
          <t>08 Catalog</t>
        </is>
      </c>
      <c r="C9" s="26" t="inlineStr">
        <is>
          <t>CAT-M004</t>
        </is>
      </c>
      <c r="D9" s="25" t="inlineStr">
        <is>
          <t>Monolith three-seat sofa</t>
        </is>
      </c>
      <c r="E9" s="25" t="inlineStr">
        <is>
          <t>in-situ</t>
        </is>
      </c>
      <c r="F9" s="27" t="inlineStr">
        <is>
          <t>4:5</t>
        </is>
      </c>
      <c r="G9" s="28" t="n">
        <v>1200</v>
      </c>
      <c r="H9" s="28" t="n">
        <v>1500</v>
      </c>
      <c r="I9" s="35" t="inlineStr">
        <is>
          <t>MAX</t>
        </is>
      </c>
      <c r="J9" s="25" t="inlineStr">
        <is>
          <t>Three-seat sofa in room with ink-blue walls</t>
        </is>
      </c>
      <c r="K9" s="25" t="inlineStr">
        <is>
          <t>Evening light. Full piece visible. MAX aesthetic — deep wall colour, patterned rug, evening lamplight.</t>
        </is>
      </c>
      <c r="L9" s="30" t="inlineStr">
        <is>
          <t>Pending</t>
        </is>
      </c>
      <c r="M9" s="25" t="inlineStr"/>
      <c r="N9" s="25" t="inlineStr"/>
    </row>
    <row r="10" ht="58" customHeight="1">
      <c r="A10" s="34" t="n">
        <v>4</v>
      </c>
      <c r="B10" s="25" t="inlineStr">
        <is>
          <t>08 Catalog</t>
        </is>
      </c>
      <c r="C10" s="26" t="inlineStr">
        <is>
          <t>CAT-M005</t>
        </is>
      </c>
      <c r="D10" s="25" t="inlineStr">
        <is>
          <t>Monolith two-seat sofa</t>
        </is>
      </c>
      <c r="E10" s="25" t="inlineStr">
        <is>
          <t>in-situ</t>
        </is>
      </c>
      <c r="F10" s="27" t="inlineStr">
        <is>
          <t>21:9</t>
        </is>
      </c>
      <c r="G10" s="28" t="n">
        <v>2400</v>
      </c>
      <c r="H10" s="28" t="n">
        <v>1028</v>
      </c>
      <c r="I10" s="35" t="inlineStr">
        <is>
          <t>MAX</t>
        </is>
      </c>
      <c r="J10" s="25" t="inlineStr">
        <is>
          <t>Two-seat sofa in evening-lit old Lahore drawing room</t>
        </is>
      </c>
      <c r="K10" s="25" t="inlineStr">
        <is>
          <t>Full-bleed wide shot. Warm lamplight. Can share set/styling with CAT-M004.</t>
        </is>
      </c>
      <c r="L10" s="30" t="inlineStr">
        <is>
          <t>Pending</t>
        </is>
      </c>
      <c r="M10" s="25" t="inlineStr"/>
      <c r="N10" s="25" t="inlineStr"/>
    </row>
    <row r="11" ht="58" customHeight="1">
      <c r="A11" s="34" t="n">
        <v>5</v>
      </c>
      <c r="B11" s="25" t="inlineStr">
        <is>
          <t>05 Signature · Quarry (upgrade)</t>
        </is>
      </c>
      <c r="C11" s="26" t="inlineStr">
        <is>
          <t>Q001-HERO</t>
        </is>
      </c>
      <c r="D11" s="25" t="inlineStr">
        <is>
          <t>Quarry Lounge Chair in DHA reading nook</t>
        </is>
      </c>
      <c r="E11" s="25" t="inlineStr">
        <is>
          <t>in-situ</t>
        </is>
      </c>
      <c r="F11" s="27" t="inlineStr">
        <is>
          <t>4:5</t>
        </is>
      </c>
      <c r="G11" s="28" t="n">
        <v>1200</v>
      </c>
      <c r="H11" s="28" t="n">
        <v>1500</v>
      </c>
      <c r="I11" s="29" t="inlineStr">
        <is>
          <t>WARM</t>
        </is>
      </c>
      <c r="J11" s="25" t="inlineStr">
        <is>
          <t>Quarry Chair in a reading nook with side table, book, lamp</t>
        </is>
      </c>
      <c r="K11" s="25" t="inlineStr">
        <is>
          <t>Currently using product shot as fallback. This replaces with a proper lifestyle render.</t>
        </is>
      </c>
      <c r="L11" s="30" t="inlineStr">
        <is>
          <t>Pending</t>
        </is>
      </c>
      <c r="M11" s="25" t="inlineStr"/>
      <c r="N11" s="25" t="inlineStr"/>
    </row>
    <row r="12" ht="58" customHeight="1">
      <c r="A12" s="34" t="n">
        <v>5</v>
      </c>
      <c r="B12" s="25" t="inlineStr">
        <is>
          <t>07 Signature · Monolith (upgrade)</t>
        </is>
      </c>
      <c r="C12" s="26" t="inlineStr">
        <is>
          <t>M003-HERO</t>
        </is>
      </c>
      <c r="D12" s="25" t="inlineStr">
        <is>
          <t>Monolith Sectional full-bleed in-situ</t>
        </is>
      </c>
      <c r="E12" s="25" t="inlineStr">
        <is>
          <t>in-situ</t>
        </is>
      </c>
      <c r="F12" s="27" t="inlineStr">
        <is>
          <t>21:9</t>
        </is>
      </c>
      <c r="G12" s="28" t="n">
        <v>2400</v>
      </c>
      <c r="H12" s="28" t="n">
        <v>1028</v>
      </c>
      <c r="I12" s="35" t="inlineStr">
        <is>
          <t>MAX</t>
        </is>
      </c>
      <c r="J12" s="25" t="inlineStr">
        <is>
          <t>Sectional in old Lahore drawing room — forest green walls, patterned rug, evening lamplight</t>
        </is>
      </c>
      <c r="K12" s="25" t="inlineStr">
        <is>
          <t>Currently using product shot. Full-bleed, four modules visible, evening mood.</t>
        </is>
      </c>
      <c r="L12" s="30" t="inlineStr">
        <is>
          <t>Pending</t>
        </is>
      </c>
      <c r="M12" s="25" t="inlineStr"/>
      <c r="N12" s="25" t="inlineStr"/>
    </row>
    <row r="13" ht="58" customHeight="1">
      <c r="A13" s="36" t="n">
        <v>6</v>
      </c>
      <c r="B13" s="25" t="inlineStr">
        <is>
          <t>08 Catalog (deployed)</t>
        </is>
      </c>
      <c r="C13" s="26" t="inlineStr">
        <is>
          <t>CAT-Q001</t>
        </is>
      </c>
      <c r="D13" s="25" t="inlineStr">
        <is>
          <t>Quarry Lounge Chair</t>
        </is>
      </c>
      <c r="E13" s="25" t="inlineStr">
        <is>
          <t>in-situ</t>
        </is>
      </c>
      <c r="F13" s="27" t="inlineStr">
        <is>
          <t>4:5</t>
        </is>
      </c>
      <c r="G13" s="28" t="n">
        <v>1200</v>
      </c>
      <c r="H13" s="28" t="n">
        <v>1500</v>
      </c>
      <c r="I13" s="29" t="inlineStr">
        <is>
          <t>WARM</t>
        </is>
      </c>
      <c r="J13" s="25" t="inlineStr">
        <is>
          <t>Lounge chair in DHA reading nook. Low angle, afternoon light.</t>
        </is>
      </c>
      <c r="K13" s="25" t="inlineStr">
        <is>
          <t>Already deployed with generic render. Re-render target.</t>
        </is>
      </c>
      <c r="L13" s="30" t="inlineStr">
        <is>
          <t>Pending</t>
        </is>
      </c>
      <c r="M13" s="25" t="inlineStr"/>
      <c r="N13" s="25" t="inlineStr"/>
    </row>
    <row r="14" ht="58" customHeight="1">
      <c r="A14" s="36" t="n">
        <v>6</v>
      </c>
      <c r="B14" s="25" t="inlineStr">
        <is>
          <t>08 Catalog (deployed)</t>
        </is>
      </c>
      <c r="C14" s="26" t="inlineStr">
        <is>
          <t>CAT-Q002</t>
        </is>
      </c>
      <c r="D14" s="25" t="inlineStr">
        <is>
          <t>Quarry Low Chair</t>
        </is>
      </c>
      <c r="E14" s="25" t="inlineStr">
        <is>
          <t>in-situ</t>
        </is>
      </c>
      <c r="F14" s="27" t="inlineStr">
        <is>
          <t>16:9</t>
        </is>
      </c>
      <c r="G14" s="28" t="n">
        <v>2000</v>
      </c>
      <c r="H14" s="28" t="n">
        <v>1125</v>
      </c>
      <c r="I14" s="29" t="inlineStr">
        <is>
          <t>WARM</t>
        </is>
      </c>
      <c r="J14" s="25" t="inlineStr">
        <is>
          <t>Wide shot, DHA lounge, low-slung chair foreground.</t>
        </is>
      </c>
      <c r="K14" s="25" t="inlineStr">
        <is>
          <t>Already deployed. Re-render target.</t>
        </is>
      </c>
      <c r="L14" s="30" t="inlineStr">
        <is>
          <t>Pending</t>
        </is>
      </c>
      <c r="M14" s="25" t="inlineStr"/>
      <c r="N14" s="25" t="inlineStr"/>
    </row>
    <row r="15" ht="58" customHeight="1">
      <c r="A15" s="36" t="n">
        <v>6</v>
      </c>
      <c r="B15" s="25" t="inlineStr">
        <is>
          <t>08 Catalog (deployed)</t>
        </is>
      </c>
      <c r="C15" s="26" t="inlineStr">
        <is>
          <t>CAT-Q003</t>
        </is>
      </c>
      <c r="D15" s="25" t="inlineStr">
        <is>
          <t>Quarry Armchair</t>
        </is>
      </c>
      <c r="E15" s="25" t="inlineStr">
        <is>
          <t>in-situ</t>
        </is>
      </c>
      <c r="F15" s="27" t="inlineStr">
        <is>
          <t>1:1</t>
        </is>
      </c>
      <c r="G15" s="28" t="n">
        <v>1200</v>
      </c>
      <c r="H15" s="28" t="n">
        <v>1200</v>
      </c>
      <c r="I15" s="29" t="inlineStr">
        <is>
          <t>WARM</t>
        </is>
      </c>
      <c r="J15" s="25" t="inlineStr">
        <is>
          <t>Armchair in afternoon light, square crop.</t>
        </is>
      </c>
      <c r="K15" s="25" t="inlineStr">
        <is>
          <t>Already deployed. Re-render target.</t>
        </is>
      </c>
      <c r="L15" s="30" t="inlineStr">
        <is>
          <t>Pending</t>
        </is>
      </c>
      <c r="M15" s="25" t="inlineStr"/>
      <c r="N15" s="25" t="inlineStr"/>
    </row>
    <row r="16" ht="58" customHeight="1">
      <c r="A16" s="36" t="n">
        <v>6</v>
      </c>
      <c r="B16" s="25" t="inlineStr">
        <is>
          <t>08 Catalog (deployed)</t>
        </is>
      </c>
      <c r="C16" s="26" t="inlineStr">
        <is>
          <t>CAT-Q004</t>
        </is>
      </c>
      <c r="D16" s="25" t="inlineStr">
        <is>
          <t>Quarry Accent Chair</t>
        </is>
      </c>
      <c r="E16" s="25" t="inlineStr">
        <is>
          <t>in-situ</t>
        </is>
      </c>
      <c r="F16" s="27" t="inlineStr">
        <is>
          <t>4:5</t>
        </is>
      </c>
      <c r="G16" s="28" t="n">
        <v>1200</v>
      </c>
      <c r="H16" s="28" t="n">
        <v>1500</v>
      </c>
      <c r="I16" s="29" t="inlineStr">
        <is>
          <t>WARM</t>
        </is>
      </c>
      <c r="J16" s="25" t="inlineStr">
        <is>
          <t>Accent chair in DHA setting, tall crop.</t>
        </is>
      </c>
      <c r="K16" s="25" t="inlineStr">
        <is>
          <t>Already deployed. Re-render target.</t>
        </is>
      </c>
      <c r="L16" s="30" t="inlineStr">
        <is>
          <t>Pending</t>
        </is>
      </c>
      <c r="M16" s="25" t="inlineStr"/>
      <c r="N16" s="25" t="inlineStr"/>
    </row>
    <row r="17" ht="58" customHeight="1">
      <c r="A17" s="36" t="n">
        <v>6</v>
      </c>
      <c r="B17" s="25" t="inlineStr">
        <is>
          <t>08 Catalog (deployed)</t>
        </is>
      </c>
      <c r="C17" s="26" t="inlineStr">
        <is>
          <t>CAT-D001</t>
        </is>
      </c>
      <c r="D17" s="25" t="inlineStr">
        <is>
          <t>Drift Swivel</t>
        </is>
      </c>
      <c r="E17" s="25" t="inlineStr">
        <is>
          <t>in-situ</t>
        </is>
      </c>
      <c r="F17" s="27" t="inlineStr">
        <is>
          <t>4:5</t>
        </is>
      </c>
      <c r="G17" s="28" t="n">
        <v>1200</v>
      </c>
      <c r="H17" s="28" t="n">
        <v>1500</v>
      </c>
      <c r="I17" s="37" t="inlineStr">
        <is>
          <t>EARTH</t>
        </is>
      </c>
      <c r="J17" s="25" t="inlineStr">
        <is>
          <t>Swivel chair against rattan + rough plaster wall.</t>
        </is>
      </c>
      <c r="K17" s="25" t="inlineStr">
        <is>
          <t>Already deployed. Re-render target.</t>
        </is>
      </c>
      <c r="L17" s="30" t="inlineStr">
        <is>
          <t>Pending</t>
        </is>
      </c>
      <c r="M17" s="25" t="inlineStr"/>
      <c r="N17" s="25" t="inlineStr"/>
    </row>
    <row r="18" ht="58" customHeight="1">
      <c r="A18" s="36" t="n">
        <v>6</v>
      </c>
      <c r="B18" s="25" t="inlineStr">
        <is>
          <t>08 Catalog (deployed)</t>
        </is>
      </c>
      <c r="C18" s="26" t="inlineStr">
        <is>
          <t>CAT-D002</t>
        </is>
      </c>
      <c r="D18" s="25" t="inlineStr">
        <is>
          <t>Drift Lounge Sofa</t>
        </is>
      </c>
      <c r="E18" s="25" t="inlineStr">
        <is>
          <t>in-situ</t>
        </is>
      </c>
      <c r="F18" s="27" t="inlineStr">
        <is>
          <t>4:5</t>
        </is>
      </c>
      <c r="G18" s="28" t="n">
        <v>1200</v>
      </c>
      <c r="H18" s="28" t="n">
        <v>1500</v>
      </c>
      <c r="I18" s="37" t="inlineStr">
        <is>
          <t>EARTH</t>
        </is>
      </c>
      <c r="J18" s="25" t="inlineStr">
        <is>
          <t>Lounge sofa, Bahria villa wide shot.</t>
        </is>
      </c>
      <c r="K18" s="25" t="inlineStr">
        <is>
          <t>Already deployed. Re-render target.</t>
        </is>
      </c>
      <c r="L18" s="30" t="inlineStr">
        <is>
          <t>Pending</t>
        </is>
      </c>
      <c r="M18" s="25" t="inlineStr"/>
      <c r="N18" s="25" t="inlineStr"/>
    </row>
    <row r="19" ht="58" customHeight="1">
      <c r="A19" s="36" t="n">
        <v>6</v>
      </c>
      <c r="B19" s="25" t="inlineStr">
        <is>
          <t>08 Catalog (deployed)</t>
        </is>
      </c>
      <c r="C19" s="26" t="inlineStr">
        <is>
          <t>CAT-D003</t>
        </is>
      </c>
      <c r="D19" s="25" t="inlineStr">
        <is>
          <t>Drift Two-Seat Sofa</t>
        </is>
      </c>
      <c r="E19" s="25" t="inlineStr">
        <is>
          <t>in-situ</t>
        </is>
      </c>
      <c r="F19" s="27" t="inlineStr">
        <is>
          <t>1:1</t>
        </is>
      </c>
      <c r="G19" s="28" t="n">
        <v>1200</v>
      </c>
      <c r="H19" s="28" t="n">
        <v>1200</v>
      </c>
      <c r="I19" s="37" t="inlineStr">
        <is>
          <t>EARTH</t>
        </is>
      </c>
      <c r="J19" s="25" t="inlineStr">
        <is>
          <t>Two-seat sofa on terracotta floor.</t>
        </is>
      </c>
      <c r="K19" s="25" t="inlineStr">
        <is>
          <t>Already deployed. Re-render target.</t>
        </is>
      </c>
      <c r="L19" s="30" t="inlineStr">
        <is>
          <t>Pending</t>
        </is>
      </c>
      <c r="M19" s="25" t="inlineStr"/>
      <c r="N19" s="25" t="inlineStr"/>
    </row>
    <row r="20" ht="58" customHeight="1">
      <c r="A20" s="36" t="n">
        <v>6</v>
      </c>
      <c r="B20" s="25" t="inlineStr">
        <is>
          <t>08 Catalog (deployed)</t>
        </is>
      </c>
      <c r="C20" s="26" t="inlineStr">
        <is>
          <t>CAT-D004</t>
        </is>
      </c>
      <c r="D20" s="25" t="inlineStr">
        <is>
          <t>Drift Curve Sofa</t>
        </is>
      </c>
      <c r="E20" s="25" t="inlineStr">
        <is>
          <t>in-situ</t>
        </is>
      </c>
      <c r="F20" s="27" t="inlineStr">
        <is>
          <t>4:5</t>
        </is>
      </c>
      <c r="G20" s="28" t="n">
        <v>1200</v>
      </c>
      <c r="H20" s="28" t="n">
        <v>1500</v>
      </c>
      <c r="I20" s="37" t="inlineStr">
        <is>
          <t>EARTH</t>
        </is>
      </c>
      <c r="J20" s="25" t="inlineStr">
        <is>
          <t>Curved-form sofa in organic setting.</t>
        </is>
      </c>
      <c r="K20" s="25" t="inlineStr">
        <is>
          <t>Already deployed. Re-render target.</t>
        </is>
      </c>
      <c r="L20" s="30" t="inlineStr">
        <is>
          <t>Pending</t>
        </is>
      </c>
      <c r="M20" s="25" t="inlineStr"/>
      <c r="N20" s="25" t="inlineStr"/>
    </row>
    <row r="21" ht="58" customHeight="1">
      <c r="A21" s="36" t="n">
        <v>6</v>
      </c>
      <c r="B21" s="25" t="inlineStr">
        <is>
          <t>08 Catalog (deployed)</t>
        </is>
      </c>
      <c r="C21" s="26" t="inlineStr">
        <is>
          <t>CAT-M001</t>
        </is>
      </c>
      <c r="D21" s="25" t="inlineStr">
        <is>
          <t>Monolith Dining Table</t>
        </is>
      </c>
      <c r="E21" s="25" t="inlineStr">
        <is>
          <t>in-situ</t>
        </is>
      </c>
      <c r="F21" s="27" t="inlineStr">
        <is>
          <t>4:5</t>
        </is>
      </c>
      <c r="G21" s="28" t="n">
        <v>1200</v>
      </c>
      <c r="H21" s="28" t="n">
        <v>1500</v>
      </c>
      <c r="I21" s="38" t="inlineStr">
        <is>
          <t>ARCH</t>
        </is>
      </c>
      <c r="J21" s="25" t="inlineStr">
        <is>
          <t>Dining table, penthouse concrete floor, dramatic directional light.</t>
        </is>
      </c>
      <c r="K21" s="25" t="inlineStr">
        <is>
          <t>Already deployed. Re-render target.</t>
        </is>
      </c>
      <c r="L21" s="30" t="inlineStr">
        <is>
          <t>Pending</t>
        </is>
      </c>
      <c r="M21" s="25" t="inlineStr"/>
      <c r="N21" s="25" t="inlineStr"/>
    </row>
    <row r="22" ht="58" customHeight="1">
      <c r="A22" s="36" t="n">
        <v>6</v>
      </c>
      <c r="B22" s="25" t="inlineStr">
        <is>
          <t>08 Catalog (deployed)</t>
        </is>
      </c>
      <c r="C22" s="26" t="inlineStr">
        <is>
          <t>CAT-M002</t>
        </is>
      </c>
      <c r="D22" s="25" t="inlineStr">
        <is>
          <t>Monolith Sideboard</t>
        </is>
      </c>
      <c r="E22" s="25" t="inlineStr">
        <is>
          <t>in-situ</t>
        </is>
      </c>
      <c r="F22" s="27" t="inlineStr">
        <is>
          <t>16:9</t>
        </is>
      </c>
      <c r="G22" s="28" t="n">
        <v>2000</v>
      </c>
      <c r="H22" s="28" t="n">
        <v>1125</v>
      </c>
      <c r="I22" s="38" t="inlineStr">
        <is>
          <t>ARCH</t>
        </is>
      </c>
      <c r="J22" s="25" t="inlineStr">
        <is>
          <t>Sideboard with fluted wood wall behind.</t>
        </is>
      </c>
      <c r="K22" s="25" t="inlineStr">
        <is>
          <t>Already deployed. Re-render target.</t>
        </is>
      </c>
      <c r="L22" s="30" t="inlineStr">
        <is>
          <t>Pending</t>
        </is>
      </c>
      <c r="M22" s="25" t="inlineStr"/>
      <c r="N22" s="25" t="inlineStr"/>
    </row>
    <row r="23" ht="58" customHeight="1">
      <c r="A23" s="36" t="n">
        <v>6</v>
      </c>
      <c r="B23" s="25" t="inlineStr">
        <is>
          <t>08 Catalog (deployed)</t>
        </is>
      </c>
      <c r="C23" s="26" t="inlineStr">
        <is>
          <t>CAT-M003</t>
        </is>
      </c>
      <c r="D23" s="25" t="inlineStr">
        <is>
          <t>Monolith Sectional</t>
        </is>
      </c>
      <c r="E23" s="25" t="inlineStr">
        <is>
          <t>in-situ</t>
        </is>
      </c>
      <c r="F23" s="27" t="inlineStr">
        <is>
          <t>1:1</t>
        </is>
      </c>
      <c r="G23" s="28" t="n">
        <v>1200</v>
      </c>
      <c r="H23" s="28" t="n">
        <v>1200</v>
      </c>
      <c r="I23" s="38" t="inlineStr">
        <is>
          <t>ARCH</t>
        </is>
      </c>
      <c r="J23" s="25" t="inlineStr">
        <is>
          <t>Sectional, from above / overhead angle.</t>
        </is>
      </c>
      <c r="K23" s="25" t="inlineStr">
        <is>
          <t>Already deployed. Re-render target.</t>
        </is>
      </c>
      <c r="L23" s="30" t="inlineStr">
        <is>
          <t>Pending</t>
        </is>
      </c>
      <c r="M23" s="25" t="inlineStr"/>
      <c r="N23" s="25" t="inlineStr"/>
    </row>
    <row r="24" ht="58" customHeight="1">
      <c r="A24" s="36" t="n">
        <v>6</v>
      </c>
      <c r="B24" s="25" t="inlineStr">
        <is>
          <t>08 Catalog (deployed)</t>
        </is>
      </c>
      <c r="C24" s="26" t="inlineStr">
        <is>
          <t>CAT-L001</t>
        </is>
      </c>
      <c r="D24" s="25" t="inlineStr">
        <is>
          <t>Ledge Daybed</t>
        </is>
      </c>
      <c r="E24" s="25" t="inlineStr">
        <is>
          <t>in-situ</t>
        </is>
      </c>
      <c r="F24" s="27" t="inlineStr">
        <is>
          <t>4:5</t>
        </is>
      </c>
      <c r="G24" s="28" t="n">
        <v>1200</v>
      </c>
      <c r="H24" s="28" t="n">
        <v>1500</v>
      </c>
      <c r="I24" s="35" t="inlineStr">
        <is>
          <t>MAX</t>
        </is>
      </c>
      <c r="J24" s="25" t="inlineStr">
        <is>
          <t>Daybed, burgundy headboard, evening lamplight.</t>
        </is>
      </c>
      <c r="K24" s="25" t="inlineStr">
        <is>
          <t>Already deployed. Re-render target.</t>
        </is>
      </c>
      <c r="L24" s="30" t="inlineStr">
        <is>
          <t>Pending</t>
        </is>
      </c>
      <c r="M24" s="25" t="inlineStr"/>
      <c r="N24" s="25" t="inlineStr"/>
    </row>
    <row r="25" ht="58" customHeight="1">
      <c r="A25" s="36" t="n">
        <v>6</v>
      </c>
      <c r="B25" s="25" t="inlineStr">
        <is>
          <t>08 Catalog (deployed)</t>
        </is>
      </c>
      <c r="C25" s="26" t="inlineStr">
        <is>
          <t>CAT-L002</t>
        </is>
      </c>
      <c r="D25" s="25" t="inlineStr">
        <is>
          <t>Ledge Platform Bed</t>
        </is>
      </c>
      <c r="E25" s="25" t="inlineStr">
        <is>
          <t>in-situ</t>
        </is>
      </c>
      <c r="F25" s="27" t="inlineStr">
        <is>
          <t>1:1</t>
        </is>
      </c>
      <c r="G25" s="28" t="n">
        <v>1200</v>
      </c>
      <c r="H25" s="28" t="n">
        <v>1200</v>
      </c>
      <c r="I25" s="29" t="inlineStr">
        <is>
          <t>WARM</t>
        </is>
      </c>
      <c r="J25" s="25" t="inlineStr">
        <is>
          <t>Platform bed, morning light.</t>
        </is>
      </c>
      <c r="K25" s="25" t="inlineStr">
        <is>
          <t>Already deployed. Re-render target.</t>
        </is>
      </c>
      <c r="L25" s="30" t="inlineStr">
        <is>
          <t>Pending</t>
        </is>
      </c>
      <c r="M25" s="25" t="inlineStr"/>
      <c r="N25" s="25" t="inlineStr"/>
    </row>
    <row r="26" ht="58" customHeight="1">
      <c r="A26" s="36" t="n">
        <v>6</v>
      </c>
      <c r="B26" s="25" t="inlineStr">
        <is>
          <t>08 Catalog (deployed)</t>
        </is>
      </c>
      <c r="C26" s="26" t="inlineStr">
        <is>
          <t>CAT-L003</t>
        </is>
      </c>
      <c r="D26" s="25" t="inlineStr">
        <is>
          <t>Ledge Wide Bed</t>
        </is>
      </c>
      <c r="E26" s="25" t="inlineStr">
        <is>
          <t>in-situ</t>
        </is>
      </c>
      <c r="F26" s="27" t="inlineStr">
        <is>
          <t>4:5</t>
        </is>
      </c>
      <c r="G26" s="28" t="n">
        <v>1200</v>
      </c>
      <c r="H26" s="28" t="n">
        <v>1500</v>
      </c>
      <c r="I26" s="29" t="inlineStr">
        <is>
          <t>WARM</t>
        </is>
      </c>
      <c r="J26" s="25" t="inlineStr">
        <is>
          <t>Wide bed, travertine wall.</t>
        </is>
      </c>
      <c r="K26" s="25" t="inlineStr">
        <is>
          <t>Already deployed. Re-render target.</t>
        </is>
      </c>
      <c r="L26" s="30" t="inlineStr">
        <is>
          <t>Pending</t>
        </is>
      </c>
      <c r="M26" s="25" t="inlineStr"/>
      <c r="N26" s="25" t="inlineStr"/>
    </row>
    <row r="27" ht="58" customHeight="1">
      <c r="A27" s="36" t="n">
        <v>6</v>
      </c>
      <c r="B27" s="25" t="inlineStr">
        <is>
          <t>08 Catalog (deployed)</t>
        </is>
      </c>
      <c r="C27" s="26" t="inlineStr">
        <is>
          <t>CAT-L004</t>
        </is>
      </c>
      <c r="D27" s="25" t="inlineStr">
        <is>
          <t>Ledge Round Bed</t>
        </is>
      </c>
      <c r="E27" s="25" t="inlineStr">
        <is>
          <t>in-situ</t>
        </is>
      </c>
      <c r="F27" s="27" t="inlineStr">
        <is>
          <t>4:5</t>
        </is>
      </c>
      <c r="G27" s="28" t="n">
        <v>1200</v>
      </c>
      <c r="H27" s="28" t="n">
        <v>1500</v>
      </c>
      <c r="I27" s="37" t="inlineStr">
        <is>
          <t>EARTH</t>
        </is>
      </c>
      <c r="J27" s="25" t="inlineStr">
        <is>
          <t>Round bed in restored Gulberg house.</t>
        </is>
      </c>
      <c r="K27" s="25" t="inlineStr">
        <is>
          <t>Already deployed. Re-render target.</t>
        </is>
      </c>
      <c r="L27" s="30" t="inlineStr">
        <is>
          <t>Pending</t>
        </is>
      </c>
      <c r="M27" s="25" t="inlineStr"/>
      <c r="N27" s="25" t="inlineStr"/>
    </row>
    <row r="28" ht="58" customHeight="1">
      <c r="A28" s="36" t="n">
        <v>6</v>
      </c>
      <c r="B28" s="25" t="inlineStr">
        <is>
          <t>08 Catalog (deployed)</t>
        </is>
      </c>
      <c r="C28" s="26" t="inlineStr">
        <is>
          <t>CAT-S001</t>
        </is>
      </c>
      <c r="D28" s="25" t="inlineStr">
        <is>
          <t>Stone Stool family</t>
        </is>
      </c>
      <c r="E28" s="25" t="inlineStr">
        <is>
          <t>in-situ</t>
        </is>
      </c>
      <c r="F28" s="27" t="inlineStr">
        <is>
          <t>21:9</t>
        </is>
      </c>
      <c r="G28" s="28" t="n">
        <v>2400</v>
      </c>
      <c r="H28" s="28" t="n">
        <v>1028</v>
      </c>
      <c r="I28" s="29" t="inlineStr">
        <is>
          <t>WARM</t>
        </is>
      </c>
      <c r="J28" s="25" t="inlineStr">
        <is>
          <t>Stool family grouped on limestone floor.</t>
        </is>
      </c>
      <c r="K28" s="25" t="inlineStr">
        <is>
          <t>Already deployed. Re-render target.</t>
        </is>
      </c>
      <c r="L28" s="30" t="inlineStr">
        <is>
          <t>Pending</t>
        </is>
      </c>
      <c r="M28" s="25" t="inlineStr"/>
      <c r="N28" s="25" t="inlineStr"/>
    </row>
    <row r="29" ht="58" customHeight="1">
      <c r="A29" s="36" t="n">
        <v>6</v>
      </c>
      <c r="B29" s="25" t="inlineStr">
        <is>
          <t>08 Catalog (deployed)</t>
        </is>
      </c>
      <c r="C29" s="26" t="inlineStr">
        <is>
          <t>CAT-S002</t>
        </is>
      </c>
      <c r="D29" s="25" t="inlineStr">
        <is>
          <t>Stone Stool family (variant)</t>
        </is>
      </c>
      <c r="E29" s="25" t="inlineStr">
        <is>
          <t>in-situ</t>
        </is>
      </c>
      <c r="F29" s="27" t="inlineStr">
        <is>
          <t>1:1</t>
        </is>
      </c>
      <c r="G29" s="28" t="n">
        <v>1200</v>
      </c>
      <c r="H29" s="28" t="n">
        <v>1200</v>
      </c>
      <c r="I29" s="29" t="inlineStr">
        <is>
          <t>WARM</t>
        </is>
      </c>
      <c r="J29" s="25" t="inlineStr">
        <is>
          <t>Alternate stool family grouping.</t>
        </is>
      </c>
      <c r="K29" s="25" t="inlineStr">
        <is>
          <t>Already deployed. Re-render target.</t>
        </is>
      </c>
      <c r="L29" s="30" t="inlineStr">
        <is>
          <t>Pending</t>
        </is>
      </c>
      <c r="M29" s="25" t="inlineStr"/>
      <c r="N29" s="25" t="inlineStr"/>
    </row>
  </sheetData>
  <dataValidations count="3">
    <dataValidation sqref="L2:L29" showDropDown="0" showInputMessage="0" showErrorMessage="0" allowBlank="1" errorTitle="Invalid status" error="Must be one of: Pending, In progress, Delivered, Approved" type="list">
      <formula1>"Pending,In progress,Delivered,Approved"</formula1>
    </dataValidation>
    <dataValidation sqref="I2:I29" showDropDown="0" showInputMessage="0" showErrorMessage="0" allowBlank="1" type="list">
      <formula1>"WARM,ARCH,EARTH,MAX,NEUTRAL"</formula1>
    </dataValidation>
    <dataValidation sqref="A2:A29" showDropDown="0" showInputMessage="0" showErrorMessage="0" allowBlank="0" type="list">
      <formula1>"1,2,3,4,5,6"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2026-04-23T22:27:53Z</dcterms:created>
  <dcterms:modified xmlns:dcterms="http://purl.org/dc/terms/" xmlns:xsi="http://www.w3.org/2001/XMLSchema-instance" xsi:type="dcterms:W3CDTF">2026-04-23T22:27:53Z</dcterms:modified>
</cp:coreProperties>
</file>